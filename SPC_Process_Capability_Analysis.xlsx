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ASRA\Desktop\"/>
    </mc:Choice>
  </mc:AlternateContent>
  <xr:revisionPtr revIDLastSave="0" documentId="13_ncr:1_{68D791ED-4B66-49AB-87A6-AF779BF8A9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PC_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M3" i="1" s="1"/>
  <c r="M15" i="1" l="1"/>
  <c r="M13" i="1"/>
  <c r="M14" i="1"/>
  <c r="M17" i="1"/>
  <c r="M20" i="1" s="1"/>
  <c r="M2" i="1"/>
  <c r="M11" i="1" s="1"/>
  <c r="M10" i="1" l="1"/>
  <c r="M9" i="1"/>
  <c r="I9" i="1" s="1"/>
  <c r="M21" i="1"/>
  <c r="M22" i="1"/>
  <c r="I16" i="1" l="1"/>
  <c r="I19" i="1"/>
  <c r="I3" i="1"/>
  <c r="I10" i="1"/>
  <c r="I5" i="1"/>
  <c r="I12" i="1"/>
  <c r="I15" i="1"/>
  <c r="I2" i="1"/>
  <c r="I6" i="1"/>
  <c r="I8" i="1"/>
  <c r="I11" i="1"/>
  <c r="I18" i="1"/>
  <c r="I21" i="1"/>
  <c r="I20" i="1"/>
  <c r="I4" i="1"/>
  <c r="I7" i="1"/>
  <c r="I14" i="1"/>
  <c r="I17" i="1"/>
  <c r="I13" i="1"/>
  <c r="M23" i="1"/>
</calcChain>
</file>

<file path=xl/sharedStrings.xml><?xml version="1.0" encoding="utf-8"?>
<sst xmlns="http://schemas.openxmlformats.org/spreadsheetml/2006/main" count="30" uniqueCount="30">
  <si>
    <t>Subgroup</t>
  </si>
  <si>
    <t>Sample 1</t>
  </si>
  <si>
    <t>Sample 2</t>
  </si>
  <si>
    <t>Sample 3</t>
  </si>
  <si>
    <t>Sample 4</t>
  </si>
  <si>
    <t>Sample 5</t>
  </si>
  <si>
    <t>X-bar (Mean)</t>
  </si>
  <si>
    <t>R (Range)</t>
  </si>
  <si>
    <t>X-double-bar (Grand Mean)</t>
  </si>
  <si>
    <t>R-bar (Average Range)</t>
  </si>
  <si>
    <t>A2</t>
  </si>
  <si>
    <t>D3</t>
  </si>
  <si>
    <t>D4</t>
  </si>
  <si>
    <t>d2</t>
  </si>
  <si>
    <t>UCL_X (Upper Control Limit)</t>
  </si>
  <si>
    <t>CL_X (Center Line)</t>
  </si>
  <si>
    <t>LCL_X (Lower Control Limit)</t>
  </si>
  <si>
    <t>UCL_R</t>
  </si>
  <si>
    <t>CL_R</t>
  </si>
  <si>
    <t>LCL_R</t>
  </si>
  <si>
    <t>Sigma_hat (Estimated Std Dev)</t>
  </si>
  <si>
    <t>USL</t>
  </si>
  <si>
    <t>LSL</t>
  </si>
  <si>
    <t>Cp</t>
  </si>
  <si>
    <t>Cpu</t>
  </si>
  <si>
    <t>Cpl</t>
  </si>
  <si>
    <t>Cpk</t>
  </si>
  <si>
    <t>UCL</t>
  </si>
  <si>
    <t>CL</t>
  </si>
  <si>
    <t>LCL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</si>
</sst>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X-bar Control Chart - Shaft Diameter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SPC_Analysis!$G$1</c:f>
              <c:strCache>
                <c:ptCount val="1"/>
                <c:pt idx="0">
                  <c:v>X-bar (Mean)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SPC_Analysis!$A$2:$A$21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SPC_Analysis!$G$2:$G$21</c:f>
              <c:numCache>
                <c:formatCode>0.000</c:formatCode>
                <c:ptCount val="20"/>
                <c:pt idx="0">
                  <c:v>50.006</c:v>
                </c:pt>
                <c:pt idx="1">
                  <c:v>50.006</c:v>
                </c:pt>
                <c:pt idx="2">
                  <c:v>50.007999999999996</c:v>
                </c:pt>
                <c:pt idx="3">
                  <c:v>50.013999999999996</c:v>
                </c:pt>
                <c:pt idx="4">
                  <c:v>50</c:v>
                </c:pt>
                <c:pt idx="5">
                  <c:v>50.02</c:v>
                </c:pt>
                <c:pt idx="6">
                  <c:v>50</c:v>
                </c:pt>
                <c:pt idx="7">
                  <c:v>50.019999999999996</c:v>
                </c:pt>
                <c:pt idx="8">
                  <c:v>50</c:v>
                </c:pt>
                <c:pt idx="9">
                  <c:v>50.019999999999996</c:v>
                </c:pt>
                <c:pt idx="10">
                  <c:v>50</c:v>
                </c:pt>
                <c:pt idx="11">
                  <c:v>50.019999999999996</c:v>
                </c:pt>
                <c:pt idx="12">
                  <c:v>50</c:v>
                </c:pt>
                <c:pt idx="13">
                  <c:v>50.019999999999996</c:v>
                </c:pt>
                <c:pt idx="14">
                  <c:v>50.010000000000005</c:v>
                </c:pt>
                <c:pt idx="15">
                  <c:v>50.029999999999994</c:v>
                </c:pt>
                <c:pt idx="16">
                  <c:v>50</c:v>
                </c:pt>
                <c:pt idx="17">
                  <c:v>50.019999999999996</c:v>
                </c:pt>
                <c:pt idx="18">
                  <c:v>50.010000000000005</c:v>
                </c:pt>
                <c:pt idx="19">
                  <c:v>50.01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33-47A1-9416-742AAC038E75}"/>
            </c:ext>
          </c:extLst>
        </c:ser>
        <c:ser>
          <c:idx val="1"/>
          <c:order val="1"/>
          <c:tx>
            <c:v>UCL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SPC_Analysis!$I$2:$I$21</c:f>
              <c:numCache>
                <c:formatCode>General</c:formatCode>
                <c:ptCount val="20"/>
                <c:pt idx="0">
                  <c:v>50.037818999999992</c:v>
                </c:pt>
                <c:pt idx="1">
                  <c:v>50.037818999999992</c:v>
                </c:pt>
                <c:pt idx="2">
                  <c:v>50.037818999999992</c:v>
                </c:pt>
                <c:pt idx="3">
                  <c:v>50.037818999999992</c:v>
                </c:pt>
                <c:pt idx="4">
                  <c:v>50.037818999999992</c:v>
                </c:pt>
                <c:pt idx="5">
                  <c:v>50.037818999999992</c:v>
                </c:pt>
                <c:pt idx="6">
                  <c:v>50.037818999999992</c:v>
                </c:pt>
                <c:pt idx="7">
                  <c:v>50.037818999999992</c:v>
                </c:pt>
                <c:pt idx="8">
                  <c:v>50.037818999999992</c:v>
                </c:pt>
                <c:pt idx="9">
                  <c:v>50.037818999999992</c:v>
                </c:pt>
                <c:pt idx="10">
                  <c:v>50.037818999999992</c:v>
                </c:pt>
                <c:pt idx="11">
                  <c:v>50.037818999999992</c:v>
                </c:pt>
                <c:pt idx="12">
                  <c:v>50.037818999999992</c:v>
                </c:pt>
                <c:pt idx="13">
                  <c:v>50.037818999999992</c:v>
                </c:pt>
                <c:pt idx="14">
                  <c:v>50.037818999999992</c:v>
                </c:pt>
                <c:pt idx="15">
                  <c:v>50.037818999999992</c:v>
                </c:pt>
                <c:pt idx="16">
                  <c:v>50.037818999999992</c:v>
                </c:pt>
                <c:pt idx="17">
                  <c:v>50.037818999999992</c:v>
                </c:pt>
                <c:pt idx="18">
                  <c:v>50.037818999999992</c:v>
                </c:pt>
                <c:pt idx="19">
                  <c:v>50.037818999999992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33-47A1-9416-742AAC038E75}"/>
            </c:ext>
          </c:extLst>
        </c:ser>
        <c:ser>
          <c:idx val="2"/>
          <c:order val="2"/>
          <c:tx>
            <c:v>CL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SPC_Analysis!$J$2:$J$21</c:f>
              <c:numCache>
                <c:formatCode>General</c:formatCode>
                <c:ptCount val="20"/>
                <c:pt idx="0">
                  <c:v>50.011000000000003</c:v>
                </c:pt>
                <c:pt idx="1">
                  <c:v>50.011000000000003</c:v>
                </c:pt>
                <c:pt idx="2">
                  <c:v>50.011000000000003</c:v>
                </c:pt>
                <c:pt idx="3">
                  <c:v>50.011000000000003</c:v>
                </c:pt>
                <c:pt idx="4">
                  <c:v>50.011000000000003</c:v>
                </c:pt>
                <c:pt idx="5">
                  <c:v>50.011000000000003</c:v>
                </c:pt>
                <c:pt idx="6">
                  <c:v>50.011000000000003</c:v>
                </c:pt>
                <c:pt idx="7">
                  <c:v>50.011000000000003</c:v>
                </c:pt>
                <c:pt idx="8">
                  <c:v>50.011000000000003</c:v>
                </c:pt>
                <c:pt idx="9">
                  <c:v>50.011000000000003</c:v>
                </c:pt>
                <c:pt idx="10">
                  <c:v>50.011000000000003</c:v>
                </c:pt>
                <c:pt idx="11">
                  <c:v>50.011000000000003</c:v>
                </c:pt>
                <c:pt idx="12">
                  <c:v>50.011000000000003</c:v>
                </c:pt>
                <c:pt idx="13">
                  <c:v>50.011000000000003</c:v>
                </c:pt>
                <c:pt idx="14">
                  <c:v>50.011000000000003</c:v>
                </c:pt>
                <c:pt idx="15">
                  <c:v>50.011000000000003</c:v>
                </c:pt>
                <c:pt idx="16">
                  <c:v>50.011000000000003</c:v>
                </c:pt>
                <c:pt idx="17">
                  <c:v>50.011000000000003</c:v>
                </c:pt>
                <c:pt idx="18">
                  <c:v>50.011000000000003</c:v>
                </c:pt>
                <c:pt idx="19">
                  <c:v>50.011000000000003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33-47A1-9416-742AAC038E75}"/>
            </c:ext>
          </c:extLst>
        </c:ser>
        <c:ser>
          <c:idx val="3"/>
          <c:order val="3"/>
          <c:tx>
            <c:v>LCL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SPC_Analysis!$K$2:$K$21</c:f>
              <c:numCache>
                <c:formatCode>General</c:formatCode>
                <c:ptCount val="20"/>
                <c:pt idx="0">
                  <c:v>49.984000000000002</c:v>
                </c:pt>
                <c:pt idx="1">
                  <c:v>49.984000000000002</c:v>
                </c:pt>
                <c:pt idx="2">
                  <c:v>49.984000000000002</c:v>
                </c:pt>
                <c:pt idx="3">
                  <c:v>49.984000000000002</c:v>
                </c:pt>
                <c:pt idx="4">
                  <c:v>49.984000000000002</c:v>
                </c:pt>
                <c:pt idx="5">
                  <c:v>49.984000000000002</c:v>
                </c:pt>
                <c:pt idx="6">
                  <c:v>49.984000000000002</c:v>
                </c:pt>
                <c:pt idx="7">
                  <c:v>49.984000000000002</c:v>
                </c:pt>
                <c:pt idx="8">
                  <c:v>49.984000000000002</c:v>
                </c:pt>
                <c:pt idx="9">
                  <c:v>49.984000000000002</c:v>
                </c:pt>
                <c:pt idx="10">
                  <c:v>49.984000000000002</c:v>
                </c:pt>
                <c:pt idx="11">
                  <c:v>49.984000000000002</c:v>
                </c:pt>
                <c:pt idx="12">
                  <c:v>49.984000000000002</c:v>
                </c:pt>
                <c:pt idx="13">
                  <c:v>49.984000000000002</c:v>
                </c:pt>
                <c:pt idx="14">
                  <c:v>49.984000000000002</c:v>
                </c:pt>
                <c:pt idx="15">
                  <c:v>49.984000000000002</c:v>
                </c:pt>
                <c:pt idx="16">
                  <c:v>49.984000000000002</c:v>
                </c:pt>
                <c:pt idx="17">
                  <c:v>49.984000000000002</c:v>
                </c:pt>
                <c:pt idx="18">
                  <c:v>49.984000000000002</c:v>
                </c:pt>
                <c:pt idx="19">
                  <c:v>49.984000000000002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33-47A1-9416-742AAC038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778479"/>
        <c:axId val="1754567839"/>
      </c:lineChart>
      <c:catAx>
        <c:axId val="181477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567839"/>
        <c:crosses val="autoZero"/>
        <c:auto val="1"/>
        <c:lblAlgn val="ctr"/>
        <c:lblOffset val="100"/>
        <c:noMultiLvlLbl val="0"/>
      </c:catAx>
      <c:valAx>
        <c:axId val="175456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77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</xdr:colOff>
      <xdr:row>1</xdr:row>
      <xdr:rowOff>4762</xdr:rowOff>
    </xdr:from>
    <xdr:to>
      <xdr:col>24</xdr:col>
      <xdr:colOff>9525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033446-CA0F-7F34-C502-70ADD6308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L27" sqref="L27"/>
    </sheetView>
  </sheetViews>
  <sheetFormatPr defaultRowHeight="15" x14ac:dyDescent="0.25"/>
  <cols>
    <col min="1" max="1" width="9.7109375" customWidth="1"/>
    <col min="7" max="7" width="12.85546875" customWidth="1"/>
    <col min="12" max="12" width="27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27</v>
      </c>
      <c r="J1" s="1" t="s">
        <v>28</v>
      </c>
      <c r="K1" s="1" t="s">
        <v>29</v>
      </c>
    </row>
    <row r="2" spans="1:13" x14ac:dyDescent="0.25">
      <c r="A2">
        <v>1</v>
      </c>
      <c r="B2" s="2">
        <v>50.02</v>
      </c>
      <c r="C2" s="2">
        <v>49.98</v>
      </c>
      <c r="D2" s="2">
        <v>50.01</v>
      </c>
      <c r="E2" s="2">
        <v>50.03</v>
      </c>
      <c r="F2" s="2">
        <v>49.99</v>
      </c>
      <c r="G2" s="2">
        <f>AVERAGE(B2:F2)</f>
        <v>50.006</v>
      </c>
      <c r="H2" s="2">
        <f>MAX(B2:F2) - MIN(B2:F2)</f>
        <v>5.0000000000004263E-2</v>
      </c>
      <c r="I2">
        <f>$M$9</f>
        <v>50.037818999999992</v>
      </c>
      <c r="J2">
        <v>50.011000000000003</v>
      </c>
      <c r="K2">
        <v>49.984000000000002</v>
      </c>
      <c r="L2" t="s">
        <v>8</v>
      </c>
      <c r="M2" s="2">
        <f>AVERAGE(G2:G21)</f>
        <v>50.010699999999993</v>
      </c>
    </row>
    <row r="3" spans="1:13" x14ac:dyDescent="0.25">
      <c r="A3">
        <v>2</v>
      </c>
      <c r="B3" s="2">
        <v>49.97</v>
      </c>
      <c r="C3" s="2">
        <v>50.02</v>
      </c>
      <c r="D3" s="2">
        <v>50.04</v>
      </c>
      <c r="E3" s="2">
        <v>49.99</v>
      </c>
      <c r="F3" s="2">
        <v>50.01</v>
      </c>
      <c r="G3" s="2">
        <f t="shared" ref="G3:G21" si="0">AVERAGE(B3:F3)</f>
        <v>50.006</v>
      </c>
      <c r="H3" s="2">
        <f t="shared" ref="H3:H21" si="1">MAX(B3:F3) - MIN(B3:F3)</f>
        <v>7.0000000000000284E-2</v>
      </c>
      <c r="I3">
        <f t="shared" ref="I3:I21" si="2">$M$9</f>
        <v>50.037818999999992</v>
      </c>
      <c r="J3">
        <v>50.011000000000003</v>
      </c>
      <c r="K3">
        <v>49.984000000000002</v>
      </c>
      <c r="L3" t="s">
        <v>9</v>
      </c>
      <c r="M3" s="2">
        <f>AVERAGE(H2:H21)</f>
        <v>4.7000000000001665E-2</v>
      </c>
    </row>
    <row r="4" spans="1:13" x14ac:dyDescent="0.25">
      <c r="A4">
        <v>3</v>
      </c>
      <c r="B4" s="2">
        <v>50.01</v>
      </c>
      <c r="C4" s="2">
        <v>50</v>
      </c>
      <c r="D4" s="2">
        <v>49.98</v>
      </c>
      <c r="E4" s="2">
        <v>50.02</v>
      </c>
      <c r="F4" s="2">
        <v>50.03</v>
      </c>
      <c r="G4" s="2">
        <f t="shared" si="0"/>
        <v>50.007999999999996</v>
      </c>
      <c r="H4" s="2">
        <f t="shared" si="1"/>
        <v>5.0000000000004263E-2</v>
      </c>
      <c r="I4">
        <f t="shared" si="2"/>
        <v>50.037818999999992</v>
      </c>
      <c r="J4">
        <v>50.011000000000003</v>
      </c>
      <c r="K4">
        <v>49.984000000000002</v>
      </c>
      <c r="L4" t="s">
        <v>10</v>
      </c>
      <c r="M4">
        <v>0.57699999999999996</v>
      </c>
    </row>
    <row r="5" spans="1:13" x14ac:dyDescent="0.25">
      <c r="A5">
        <v>4</v>
      </c>
      <c r="B5" s="2">
        <v>50.04</v>
      </c>
      <c r="C5" s="2">
        <v>50.03</v>
      </c>
      <c r="D5" s="2">
        <v>50.02</v>
      </c>
      <c r="E5" s="2">
        <v>49.98</v>
      </c>
      <c r="F5" s="2">
        <v>50</v>
      </c>
      <c r="G5" s="2">
        <f t="shared" si="0"/>
        <v>50.013999999999996</v>
      </c>
      <c r="H5" s="2">
        <f t="shared" si="1"/>
        <v>6.0000000000002274E-2</v>
      </c>
      <c r="I5">
        <f t="shared" si="2"/>
        <v>50.037818999999992</v>
      </c>
      <c r="J5">
        <v>50.011000000000003</v>
      </c>
      <c r="K5">
        <v>49.984000000000002</v>
      </c>
      <c r="L5" t="s">
        <v>11</v>
      </c>
      <c r="M5">
        <v>0</v>
      </c>
    </row>
    <row r="6" spans="1:13" x14ac:dyDescent="0.25">
      <c r="A6">
        <v>5</v>
      </c>
      <c r="B6" s="2">
        <v>49.99</v>
      </c>
      <c r="C6" s="2">
        <v>50.01</v>
      </c>
      <c r="D6" s="2">
        <v>49.97</v>
      </c>
      <c r="E6" s="2">
        <v>50.02</v>
      </c>
      <c r="F6" s="2">
        <v>50.01</v>
      </c>
      <c r="G6" s="2">
        <f t="shared" si="0"/>
        <v>50</v>
      </c>
      <c r="H6" s="2">
        <f t="shared" si="1"/>
        <v>5.0000000000004263E-2</v>
      </c>
      <c r="I6">
        <f t="shared" si="2"/>
        <v>50.037818999999992</v>
      </c>
      <c r="J6">
        <v>50.011000000000003</v>
      </c>
      <c r="K6">
        <v>49.984000000000002</v>
      </c>
      <c r="L6" t="s">
        <v>12</v>
      </c>
      <c r="M6">
        <v>2.1139999999999999</v>
      </c>
    </row>
    <row r="7" spans="1:13" x14ac:dyDescent="0.25">
      <c r="A7">
        <v>6</v>
      </c>
      <c r="B7" s="2">
        <v>50.03</v>
      </c>
      <c r="C7" s="2">
        <v>50.05</v>
      </c>
      <c r="D7" s="2">
        <v>50.01</v>
      </c>
      <c r="E7" s="2">
        <v>49.99</v>
      </c>
      <c r="F7" s="2">
        <v>50.02</v>
      </c>
      <c r="G7" s="2">
        <f t="shared" si="0"/>
        <v>50.02</v>
      </c>
      <c r="H7" s="2">
        <f t="shared" si="1"/>
        <v>5.9999999999995168E-2</v>
      </c>
      <c r="I7">
        <f t="shared" si="2"/>
        <v>50.037818999999992</v>
      </c>
      <c r="J7">
        <v>50.011000000000003</v>
      </c>
      <c r="K7">
        <v>49.984000000000002</v>
      </c>
      <c r="L7" t="s">
        <v>13</v>
      </c>
      <c r="M7">
        <v>2.3260000000000001</v>
      </c>
    </row>
    <row r="8" spans="1:13" x14ac:dyDescent="0.25">
      <c r="A8">
        <v>7</v>
      </c>
      <c r="B8" s="2">
        <v>50</v>
      </c>
      <c r="C8" s="2">
        <v>49.98</v>
      </c>
      <c r="D8" s="2">
        <v>50.02</v>
      </c>
      <c r="E8" s="2">
        <v>50.01</v>
      </c>
      <c r="F8" s="2">
        <v>49.99</v>
      </c>
      <c r="G8" s="2">
        <f t="shared" si="0"/>
        <v>50</v>
      </c>
      <c r="H8" s="2">
        <f t="shared" si="1"/>
        <v>4.0000000000006253E-2</v>
      </c>
      <c r="I8">
        <f t="shared" si="2"/>
        <v>50.037818999999992</v>
      </c>
      <c r="J8">
        <v>50.011000000000003</v>
      </c>
      <c r="K8">
        <v>49.984000000000002</v>
      </c>
    </row>
    <row r="9" spans="1:13" x14ac:dyDescent="0.25">
      <c r="A9">
        <v>8</v>
      </c>
      <c r="B9" s="2">
        <v>50.02</v>
      </c>
      <c r="C9" s="2">
        <v>50.01</v>
      </c>
      <c r="D9" s="2">
        <v>50.03</v>
      </c>
      <c r="E9" s="2">
        <v>50.04</v>
      </c>
      <c r="F9" s="2">
        <v>50</v>
      </c>
      <c r="G9" s="2">
        <f t="shared" si="0"/>
        <v>50.019999999999996</v>
      </c>
      <c r="H9" s="2">
        <f t="shared" si="1"/>
        <v>3.9999999999999147E-2</v>
      </c>
      <c r="I9">
        <f t="shared" si="2"/>
        <v>50.037818999999992</v>
      </c>
      <c r="J9">
        <v>50.011000000000003</v>
      </c>
      <c r="K9">
        <v>49.984000000000002</v>
      </c>
      <c r="L9" t="s">
        <v>14</v>
      </c>
      <c r="M9">
        <f>M2 + (M4 * M3)</f>
        <v>50.037818999999992</v>
      </c>
    </row>
    <row r="10" spans="1:13" x14ac:dyDescent="0.25">
      <c r="A10">
        <v>9</v>
      </c>
      <c r="B10" s="2">
        <v>49.98</v>
      </c>
      <c r="C10" s="2">
        <v>50</v>
      </c>
      <c r="D10" s="2">
        <v>50.02</v>
      </c>
      <c r="E10" s="2">
        <v>49.99</v>
      </c>
      <c r="F10" s="2">
        <v>50.01</v>
      </c>
      <c r="G10" s="2">
        <f t="shared" si="0"/>
        <v>50</v>
      </c>
      <c r="H10" s="2">
        <f t="shared" si="1"/>
        <v>4.0000000000006253E-2</v>
      </c>
      <c r="I10">
        <f t="shared" si="2"/>
        <v>50.037818999999992</v>
      </c>
      <c r="J10">
        <v>50.011000000000003</v>
      </c>
      <c r="K10">
        <v>49.984000000000002</v>
      </c>
      <c r="L10" t="s">
        <v>15</v>
      </c>
      <c r="M10" s="2">
        <f>M2</f>
        <v>50.010699999999993</v>
      </c>
    </row>
    <row r="11" spans="1:13" x14ac:dyDescent="0.25">
      <c r="A11">
        <v>10</v>
      </c>
      <c r="B11" s="2">
        <v>50.01</v>
      </c>
      <c r="C11" s="2">
        <v>50.04</v>
      </c>
      <c r="D11" s="2">
        <v>50.02</v>
      </c>
      <c r="E11" s="2">
        <v>50</v>
      </c>
      <c r="F11" s="2">
        <v>50.03</v>
      </c>
      <c r="G11" s="2">
        <f t="shared" si="0"/>
        <v>50.019999999999996</v>
      </c>
      <c r="H11" s="2">
        <f t="shared" si="1"/>
        <v>3.9999999999999147E-2</v>
      </c>
      <c r="I11">
        <f t="shared" si="2"/>
        <v>50.037818999999992</v>
      </c>
      <c r="J11">
        <v>50.011000000000003</v>
      </c>
      <c r="K11">
        <v>49.984000000000002</v>
      </c>
      <c r="L11" t="s">
        <v>16</v>
      </c>
      <c r="M11">
        <f>M2 - (M4 * M3)</f>
        <v>49.983580999999994</v>
      </c>
    </row>
    <row r="12" spans="1:13" x14ac:dyDescent="0.25">
      <c r="A12">
        <v>11</v>
      </c>
      <c r="B12" s="2">
        <v>50</v>
      </c>
      <c r="C12" s="2">
        <v>50.02</v>
      </c>
      <c r="D12" s="2">
        <v>49.99</v>
      </c>
      <c r="E12" s="2">
        <v>50.01</v>
      </c>
      <c r="F12" s="2">
        <v>49.98</v>
      </c>
      <c r="G12" s="2">
        <f t="shared" si="0"/>
        <v>50</v>
      </c>
      <c r="H12" s="2">
        <f t="shared" si="1"/>
        <v>4.0000000000006253E-2</v>
      </c>
      <c r="I12">
        <f t="shared" si="2"/>
        <v>50.037818999999992</v>
      </c>
      <c r="J12">
        <v>50.011000000000003</v>
      </c>
      <c r="K12">
        <v>49.984000000000002</v>
      </c>
    </row>
    <row r="13" spans="1:13" x14ac:dyDescent="0.25">
      <c r="A13">
        <v>12</v>
      </c>
      <c r="B13" s="2">
        <v>50.04</v>
      </c>
      <c r="C13" s="2">
        <v>50.01</v>
      </c>
      <c r="D13" s="2">
        <v>50.03</v>
      </c>
      <c r="E13" s="2">
        <v>50.02</v>
      </c>
      <c r="F13" s="2">
        <v>50</v>
      </c>
      <c r="G13" s="2">
        <f t="shared" si="0"/>
        <v>50.019999999999996</v>
      </c>
      <c r="H13" s="2">
        <f t="shared" si="1"/>
        <v>3.9999999999999147E-2</v>
      </c>
      <c r="I13">
        <f t="shared" si="2"/>
        <v>50.037818999999992</v>
      </c>
      <c r="J13">
        <v>50.011000000000003</v>
      </c>
      <c r="K13">
        <v>49.984000000000002</v>
      </c>
      <c r="L13" t="s">
        <v>17</v>
      </c>
      <c r="M13">
        <f>M6 * M3</f>
        <v>9.9358000000003513E-2</v>
      </c>
    </row>
    <row r="14" spans="1:13" x14ac:dyDescent="0.25">
      <c r="A14">
        <v>13</v>
      </c>
      <c r="B14" s="2">
        <v>49.99</v>
      </c>
      <c r="C14" s="2">
        <v>49.97</v>
      </c>
      <c r="D14" s="2">
        <v>50.01</v>
      </c>
      <c r="E14" s="2">
        <v>50</v>
      </c>
      <c r="F14" s="2">
        <v>50.03</v>
      </c>
      <c r="G14" s="2">
        <f t="shared" si="0"/>
        <v>50</v>
      </c>
      <c r="H14" s="2">
        <f t="shared" si="1"/>
        <v>6.0000000000002274E-2</v>
      </c>
      <c r="I14">
        <f t="shared" si="2"/>
        <v>50.037818999999992</v>
      </c>
      <c r="J14">
        <v>50.011000000000003</v>
      </c>
      <c r="K14">
        <v>49.984000000000002</v>
      </c>
      <c r="L14" t="s">
        <v>18</v>
      </c>
      <c r="M14" s="2">
        <f>M3</f>
        <v>4.7000000000001665E-2</v>
      </c>
    </row>
    <row r="15" spans="1:13" x14ac:dyDescent="0.25">
      <c r="A15">
        <v>14</v>
      </c>
      <c r="B15" s="2">
        <v>50.02</v>
      </c>
      <c r="C15" s="2">
        <v>50.03</v>
      </c>
      <c r="D15" s="2">
        <v>50</v>
      </c>
      <c r="E15" s="2">
        <v>50.04</v>
      </c>
      <c r="F15" s="2">
        <v>50.01</v>
      </c>
      <c r="G15" s="2">
        <f t="shared" si="0"/>
        <v>50.019999999999996</v>
      </c>
      <c r="H15" s="2">
        <f t="shared" si="1"/>
        <v>3.9999999999999147E-2</v>
      </c>
      <c r="I15">
        <f t="shared" si="2"/>
        <v>50.037818999999992</v>
      </c>
      <c r="J15">
        <v>50.011000000000003</v>
      </c>
      <c r="K15">
        <v>49.984000000000002</v>
      </c>
      <c r="L15" t="s">
        <v>19</v>
      </c>
      <c r="M15">
        <f>M5 * M3</f>
        <v>0</v>
      </c>
    </row>
    <row r="16" spans="1:13" x14ac:dyDescent="0.25">
      <c r="A16">
        <v>15</v>
      </c>
      <c r="B16" s="2">
        <v>50.01</v>
      </c>
      <c r="C16" s="2">
        <v>49.99</v>
      </c>
      <c r="D16" s="2">
        <v>50.02</v>
      </c>
      <c r="E16" s="2">
        <v>50</v>
      </c>
      <c r="F16" s="2">
        <v>50.03</v>
      </c>
      <c r="G16" s="2">
        <f t="shared" si="0"/>
        <v>50.010000000000005</v>
      </c>
      <c r="H16" s="2">
        <f t="shared" si="1"/>
        <v>3.9999999999999147E-2</v>
      </c>
      <c r="I16">
        <f t="shared" si="2"/>
        <v>50.037818999999992</v>
      </c>
      <c r="J16">
        <v>50.011000000000003</v>
      </c>
      <c r="K16">
        <v>49.984000000000002</v>
      </c>
    </row>
    <row r="17" spans="1:13" x14ac:dyDescent="0.25">
      <c r="A17">
        <v>16</v>
      </c>
      <c r="B17" s="2">
        <v>50.05</v>
      </c>
      <c r="C17" s="2">
        <v>50.02</v>
      </c>
      <c r="D17" s="2">
        <v>50.01</v>
      </c>
      <c r="E17" s="2">
        <v>50.04</v>
      </c>
      <c r="F17" s="2">
        <v>50.03</v>
      </c>
      <c r="G17" s="2">
        <f t="shared" si="0"/>
        <v>50.029999999999994</v>
      </c>
      <c r="H17" s="2">
        <f t="shared" si="1"/>
        <v>3.9999999999999147E-2</v>
      </c>
      <c r="I17">
        <f t="shared" si="2"/>
        <v>50.037818999999992</v>
      </c>
      <c r="J17">
        <v>50.011000000000003</v>
      </c>
      <c r="K17">
        <v>49.984000000000002</v>
      </c>
      <c r="L17" t="s">
        <v>20</v>
      </c>
      <c r="M17">
        <f>M3 / M7</f>
        <v>2.0206362854686872E-2</v>
      </c>
    </row>
    <row r="18" spans="1:13" x14ac:dyDescent="0.25">
      <c r="A18">
        <v>17</v>
      </c>
      <c r="B18" s="2">
        <v>49.98</v>
      </c>
      <c r="C18" s="2">
        <v>50</v>
      </c>
      <c r="D18" s="2">
        <v>50.02</v>
      </c>
      <c r="E18" s="2">
        <v>49.99</v>
      </c>
      <c r="F18" s="2">
        <v>50.01</v>
      </c>
      <c r="G18" s="2">
        <f t="shared" si="0"/>
        <v>50</v>
      </c>
      <c r="H18" s="2">
        <f t="shared" si="1"/>
        <v>4.0000000000006253E-2</v>
      </c>
      <c r="I18">
        <f t="shared" si="2"/>
        <v>50.037818999999992</v>
      </c>
      <c r="J18">
        <v>50.011000000000003</v>
      </c>
      <c r="K18">
        <v>49.984000000000002</v>
      </c>
      <c r="L18" t="s">
        <v>21</v>
      </c>
      <c r="M18">
        <v>50.15</v>
      </c>
    </row>
    <row r="19" spans="1:13" x14ac:dyDescent="0.25">
      <c r="A19">
        <v>18</v>
      </c>
      <c r="B19" s="2">
        <v>50.03</v>
      </c>
      <c r="C19" s="2">
        <v>50.01</v>
      </c>
      <c r="D19" s="2">
        <v>50.04</v>
      </c>
      <c r="E19" s="2">
        <v>50</v>
      </c>
      <c r="F19" s="2">
        <v>50.02</v>
      </c>
      <c r="G19" s="2">
        <f t="shared" si="0"/>
        <v>50.019999999999996</v>
      </c>
      <c r="H19" s="2">
        <f t="shared" si="1"/>
        <v>3.9999999999999147E-2</v>
      </c>
      <c r="I19">
        <f t="shared" si="2"/>
        <v>50.037818999999992</v>
      </c>
      <c r="J19">
        <v>50.011000000000003</v>
      </c>
      <c r="K19">
        <v>49.984000000000002</v>
      </c>
      <c r="L19" t="s">
        <v>22</v>
      </c>
      <c r="M19">
        <v>49.85</v>
      </c>
    </row>
    <row r="20" spans="1:13" x14ac:dyDescent="0.25">
      <c r="A20">
        <v>19</v>
      </c>
      <c r="B20" s="2">
        <v>50</v>
      </c>
      <c r="C20" s="2">
        <v>50.02</v>
      </c>
      <c r="D20" s="2">
        <v>49.99</v>
      </c>
      <c r="E20" s="2">
        <v>50.03</v>
      </c>
      <c r="F20" s="2">
        <v>50.01</v>
      </c>
      <c r="G20" s="2">
        <f t="shared" si="0"/>
        <v>50.010000000000005</v>
      </c>
      <c r="H20" s="2">
        <f t="shared" si="1"/>
        <v>3.9999999999999147E-2</v>
      </c>
      <c r="I20">
        <f t="shared" si="2"/>
        <v>50.037818999999992</v>
      </c>
      <c r="J20">
        <v>50.011000000000003</v>
      </c>
      <c r="K20">
        <v>49.984000000000002</v>
      </c>
      <c r="L20" t="s">
        <v>23</v>
      </c>
      <c r="M20">
        <f>(M18 - M19) / (6 * M17)</f>
        <v>2.4744680851062717</v>
      </c>
    </row>
    <row r="21" spans="1:13" x14ac:dyDescent="0.25">
      <c r="A21">
        <v>20</v>
      </c>
      <c r="B21" s="2">
        <v>50.02</v>
      </c>
      <c r="C21" s="2">
        <v>50.04</v>
      </c>
      <c r="D21" s="2">
        <v>50.01</v>
      </c>
      <c r="E21" s="2">
        <v>49.98</v>
      </c>
      <c r="F21" s="2">
        <v>50</v>
      </c>
      <c r="G21" s="2">
        <f t="shared" si="0"/>
        <v>50.01</v>
      </c>
      <c r="H21" s="2">
        <f t="shared" si="1"/>
        <v>6.0000000000002274E-2</v>
      </c>
      <c r="I21">
        <f t="shared" si="2"/>
        <v>50.037818999999992</v>
      </c>
      <c r="J21">
        <v>50.011000000000003</v>
      </c>
      <c r="K21">
        <v>49.984000000000002</v>
      </c>
      <c r="L21" t="s">
        <v>24</v>
      </c>
      <c r="M21">
        <f>(M18 - M2) / (3 * M17)</f>
        <v>2.2979560283688079</v>
      </c>
    </row>
    <row r="22" spans="1:13" x14ac:dyDescent="0.25">
      <c r="L22" t="s">
        <v>25</v>
      </c>
      <c r="M22">
        <f>(M2 - M19) / (3 * M17)</f>
        <v>2.650980141843736</v>
      </c>
    </row>
    <row r="23" spans="1:13" x14ac:dyDescent="0.25">
      <c r="L23" t="s">
        <v>26</v>
      </c>
      <c r="M23">
        <f>MIN(M21, M22)</f>
        <v>2.2979560283688079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KASRA</dc:creator>
  <cp:lastModifiedBy>KASRA</cp:lastModifiedBy>
  <dcterms:created xsi:type="dcterms:W3CDTF">2015-06-05T18:17:20Z</dcterms:created>
  <dcterms:modified xsi:type="dcterms:W3CDTF">2026-09-25T22:15:54Z</dcterms:modified>
</cp:coreProperties>
</file>